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ssi\Progra3\TrabajoPractico\"/>
    </mc:Choice>
  </mc:AlternateContent>
  <xr:revisionPtr revIDLastSave="0" documentId="13_ncr:1_{8E28E737-B492-476C-AFA5-224B681CA99B}" xr6:coauthVersionLast="47" xr6:coauthVersionMax="47" xr10:uidLastSave="{00000000-0000-0000-0000-000000000000}"/>
  <bookViews>
    <workbookView xWindow="-120" yWindow="-120" windowWidth="29040" windowHeight="15720" xr2:uid="{E09197BC-22D2-46D4-B789-FC33494990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2" i="1"/>
  <c r="I2" i="1" s="1"/>
  <c r="K7" i="1" l="1"/>
  <c r="G33" i="1"/>
  <c r="G34" i="1" s="1"/>
  <c r="G35" i="1" s="1"/>
  <c r="J16" i="1"/>
  <c r="K30" i="1"/>
  <c r="K18" i="1"/>
  <c r="J7" i="1"/>
  <c r="J14" i="1"/>
  <c r="K13" i="1"/>
  <c r="K8" i="1"/>
  <c r="J19" i="1"/>
  <c r="I33" i="1"/>
  <c r="H33" i="1" s="1"/>
  <c r="J8" i="1"/>
  <c r="K4" i="1"/>
  <c r="K19" i="1"/>
  <c r="J17" i="1"/>
  <c r="J4" i="1"/>
  <c r="J3" i="1"/>
  <c r="J6" i="1"/>
  <c r="K6" i="1"/>
  <c r="J31" i="1"/>
  <c r="K31" i="1"/>
  <c r="J27" i="1"/>
  <c r="J30" i="1"/>
  <c r="J29" i="1"/>
  <c r="K20" i="1"/>
  <c r="J20" i="1"/>
  <c r="K17" i="1"/>
  <c r="J18" i="1"/>
  <c r="J24" i="1"/>
  <c r="J11" i="1"/>
  <c r="J10" i="1"/>
  <c r="K12" i="1"/>
  <c r="K3" i="1"/>
  <c r="K23" i="1"/>
  <c r="K16" i="1"/>
  <c r="J22" i="1"/>
  <c r="K29" i="1"/>
  <c r="J21" i="1"/>
  <c r="J25" i="1"/>
  <c r="J32" i="1"/>
  <c r="J28" i="1"/>
  <c r="J15" i="1"/>
  <c r="J26" i="1"/>
  <c r="K27" i="1"/>
  <c r="J5" i="1"/>
  <c r="K24" i="1"/>
  <c r="J12" i="1"/>
  <c r="K11" i="1"/>
  <c r="J9" i="1"/>
  <c r="K32" i="1"/>
  <c r="K28" i="1"/>
  <c r="K5" i="1"/>
  <c r="K15" i="1"/>
  <c r="J23" i="1"/>
  <c r="K10" i="1"/>
  <c r="K9" i="1"/>
  <c r="K26" i="1"/>
  <c r="K22" i="1"/>
  <c r="K14" i="1"/>
  <c r="K25" i="1"/>
  <c r="K21" i="1"/>
  <c r="J13" i="1"/>
  <c r="J2" i="1"/>
  <c r="K2" i="1"/>
  <c r="K33" i="1" l="1"/>
  <c r="K34" i="1" s="1"/>
  <c r="K35" i="1" s="1"/>
  <c r="J33" i="1"/>
  <c r="J34" i="1" s="1"/>
  <c r="J35" i="1" s="1"/>
</calcChain>
</file>

<file path=xl/sharedStrings.xml><?xml version="1.0" encoding="utf-8"?>
<sst xmlns="http://schemas.openxmlformats.org/spreadsheetml/2006/main" count="68" uniqueCount="64">
  <si>
    <t>Tarea</t>
  </si>
  <si>
    <t>Tiempo pesimista</t>
  </si>
  <si>
    <t>tiempo promedio</t>
  </si>
  <si>
    <t>tiempo optimista</t>
  </si>
  <si>
    <t>Tiempo esperado</t>
  </si>
  <si>
    <t>Cota inferior</t>
  </si>
  <si>
    <t>Cota superior</t>
  </si>
  <si>
    <t>Alcance</t>
  </si>
  <si>
    <t>Estimacion</t>
  </si>
  <si>
    <t>Seguimiento</t>
  </si>
  <si>
    <t>Arquitectura</t>
  </si>
  <si>
    <t>UX/UI</t>
  </si>
  <si>
    <t>Requisitos funcionales</t>
  </si>
  <si>
    <t>Requisitos no funcionales</t>
  </si>
  <si>
    <t>Modelo de datos</t>
  </si>
  <si>
    <t>Creacion repositorio</t>
  </si>
  <si>
    <t>Rutas de app</t>
  </si>
  <si>
    <t>Creacion de componentes</t>
  </si>
  <si>
    <t>Creacion de pantallas</t>
  </si>
  <si>
    <t>Integracion de APIs</t>
  </si>
  <si>
    <t>Conexión a la BD</t>
  </si>
  <si>
    <t>Creación de rutas</t>
  </si>
  <si>
    <t>DTOs y validaciones</t>
  </si>
  <si>
    <t>Lógica de negocio</t>
  </si>
  <si>
    <t>Tablas</t>
  </si>
  <si>
    <t>Relaciones</t>
  </si>
  <si>
    <t>Testing de componentes</t>
  </si>
  <si>
    <t>Testing de pantallas</t>
  </si>
  <si>
    <t>Testing de integración de APIs</t>
  </si>
  <si>
    <t>Testing de lógica de negocio</t>
  </si>
  <si>
    <t>Testing de consultas a la BD</t>
  </si>
  <si>
    <t>Documentación del código</t>
  </si>
  <si>
    <t>PPT</t>
  </si>
  <si>
    <t>Charla de presentación</t>
  </si>
  <si>
    <t>Planificación</t>
  </si>
  <si>
    <t>Análisis y diseño</t>
  </si>
  <si>
    <t>Desarrollo</t>
  </si>
  <si>
    <t>Documentación</t>
  </si>
  <si>
    <t>Presentación</t>
  </si>
  <si>
    <t>Frontend</t>
  </si>
  <si>
    <t>Backend</t>
  </si>
  <si>
    <t>Base de datos</t>
  </si>
  <si>
    <t>Testing</t>
  </si>
  <si>
    <t>Varianza</t>
  </si>
  <si>
    <t>Unidad:  Horas</t>
  </si>
  <si>
    <t>Resultado:</t>
  </si>
  <si>
    <t>Tiempo esperado:</t>
  </si>
  <si>
    <t>Desviacion:</t>
  </si>
  <si>
    <t>Tiempo Máximo:</t>
  </si>
  <si>
    <t>Tiempo Mímimo:</t>
  </si>
  <si>
    <t>Desviacion Estándar</t>
  </si>
  <si>
    <t>Horas esfuerzo:</t>
  </si>
  <si>
    <t>En días(8 x dia):</t>
  </si>
  <si>
    <t>38 días y 4 horas</t>
  </si>
  <si>
    <t>35 días y 14 horas</t>
  </si>
  <si>
    <t>10 horas y 15 minutos</t>
  </si>
  <si>
    <t>40 días y 17 horas</t>
  </si>
  <si>
    <t>Total</t>
  </si>
  <si>
    <t>Por Integrante</t>
  </si>
  <si>
    <t>12 días y 17 horas</t>
  </si>
  <si>
    <t>-</t>
  </si>
  <si>
    <t>11 días y 21 horas</t>
  </si>
  <si>
    <t>13 días y 14 horas</t>
  </si>
  <si>
    <t>Per capita: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</si>
</sst>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9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4" tint="0.3999755851924192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theme="4"/>
      </top>
      <bottom style="thin">
        <color indexed="64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n">
        <color indexed="64"/>
      </bottom>
      <diagonal/>
    </border>
    <border>
      <left style="thick">
        <color theme="4"/>
      </left>
      <right style="thick">
        <color theme="4"/>
      </right>
      <top style="thin">
        <color indexed="64"/>
      </top>
      <bottom style="thin">
        <color indexed="64"/>
      </bottom>
      <diagonal/>
    </border>
    <border>
      <left style="thick">
        <color theme="4"/>
      </left>
      <right style="thick">
        <color theme="4"/>
      </right>
      <top style="thin">
        <color indexed="64"/>
      </top>
      <bottom style="thick">
        <color theme="4"/>
      </bottom>
      <diagonal/>
    </border>
    <border>
      <left style="thick">
        <color theme="4"/>
      </left>
      <right/>
      <top style="thin">
        <color indexed="64"/>
      </top>
      <bottom style="thin">
        <color indexed="64"/>
      </bottom>
      <diagonal/>
    </border>
    <border>
      <left style="thick">
        <color theme="4"/>
      </left>
      <right/>
      <top style="thin">
        <color indexed="64"/>
      </top>
      <bottom style="thick">
        <color theme="4"/>
      </bottom>
      <diagonal/>
    </border>
    <border>
      <left/>
      <right style="thin">
        <color indexed="64"/>
      </right>
      <top style="thick">
        <color theme="4"/>
      </top>
      <bottom style="thin">
        <color indexed="64"/>
      </bottom>
      <diagonal/>
    </border>
    <border>
      <left style="thick">
        <color theme="4"/>
      </left>
      <right style="thick">
        <color theme="4"/>
      </right>
      <top style="thin">
        <color indexed="64"/>
      </top>
      <bottom/>
      <diagonal/>
    </border>
    <border>
      <left style="thick">
        <color theme="4"/>
      </left>
      <right/>
      <top style="thick">
        <color theme="4"/>
      </top>
      <bottom style="thin">
        <color indexed="64"/>
      </bottom>
      <diagonal/>
    </border>
    <border>
      <left style="thick">
        <color theme="4"/>
      </left>
      <right/>
      <top style="thin">
        <color indexed="64"/>
      </top>
      <bottom/>
      <diagonal/>
    </border>
    <border>
      <left style="thick">
        <color theme="4"/>
      </left>
      <right/>
      <top style="thick">
        <color theme="4"/>
      </top>
      <bottom style="thick">
        <color theme="4"/>
      </bottom>
      <diagonal/>
    </border>
    <border>
      <left style="thick">
        <color theme="4"/>
      </left>
      <right style="thick">
        <color theme="4"/>
      </right>
      <top/>
      <bottom style="thick">
        <color theme="4"/>
      </bottom>
      <diagonal/>
    </border>
    <border>
      <left/>
      <right style="thick">
        <color theme="4"/>
      </right>
      <top style="thin">
        <color indexed="64"/>
      </top>
      <bottom style="thick">
        <color theme="4"/>
      </bottom>
      <diagonal/>
    </border>
    <border>
      <left/>
      <right style="thick">
        <color theme="4"/>
      </right>
      <top style="thick">
        <color theme="4"/>
      </top>
      <bottom style="thin">
        <color indexed="64"/>
      </bottom>
      <diagonal/>
    </border>
    <border>
      <left/>
      <right style="thick">
        <color theme="4"/>
      </right>
      <top style="thin">
        <color indexed="64"/>
      </top>
      <bottom style="thin">
        <color indexed="64"/>
      </bottom>
      <diagonal/>
    </border>
    <border>
      <left/>
      <right style="thick">
        <color theme="4"/>
      </right>
      <top style="thick">
        <color theme="4"/>
      </top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/>
      <diagonal/>
    </border>
    <border>
      <left/>
      <right style="thick">
        <color theme="4"/>
      </right>
      <top style="thick">
        <color theme="4"/>
      </top>
      <bottom/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/>
      <top/>
      <bottom style="thick">
        <color theme="4"/>
      </bottom>
      <diagonal/>
    </border>
    <border>
      <left/>
      <right style="thick">
        <color theme="4"/>
      </right>
      <top/>
      <bottom style="thick">
        <color theme="4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/>
      <diagonal/>
    </border>
    <border>
      <left style="thick">
        <color theme="4"/>
      </left>
      <right style="thick">
        <color theme="4"/>
      </right>
      <top/>
      <bottom/>
      <diagonal/>
    </border>
    <border>
      <left/>
      <right/>
      <top style="thick">
        <color theme="4"/>
      </top>
      <bottom style="thin">
        <color indexed="64"/>
      </bottom>
      <diagonal/>
    </border>
    <border>
      <left/>
      <right/>
      <top style="thin">
        <color indexed="64"/>
      </top>
      <bottom style="thick">
        <color theme="4"/>
      </bottom>
      <diagonal/>
    </border>
    <border>
      <left/>
      <right style="thick">
        <color theme="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theme="4"/>
      </left>
      <right style="thick">
        <color theme="4"/>
      </right>
      <top style="thick">
        <color theme="4"/>
      </top>
      <bottom style="thin">
        <color theme="1"/>
      </bottom>
      <diagonal/>
    </border>
    <border>
      <left style="thick">
        <color theme="4"/>
      </left>
      <right style="thick">
        <color theme="4"/>
      </right>
      <top style="thin">
        <color theme="1"/>
      </top>
      <bottom style="thin">
        <color theme="1"/>
      </bottom>
      <diagonal/>
    </border>
    <border>
      <left style="thick">
        <color theme="4"/>
      </left>
      <right style="thick">
        <color theme="4"/>
      </right>
      <top style="thin">
        <color theme="1"/>
      </top>
      <bottom style="thick">
        <color theme="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4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2" fillId="0" borderId="6" xfId="0" applyFont="1" applyBorder="1"/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20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1" fillId="0" borderId="21" xfId="0" applyNumberFormat="1" applyFont="1" applyBorder="1" applyAlignment="1">
      <alignment horizontal="center"/>
    </xf>
    <xf numFmtId="2" fontId="1" fillId="0" borderId="32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2" fontId="1" fillId="0" borderId="33" xfId="0" applyNumberFormat="1" applyFon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0" fontId="2" fillId="0" borderId="30" xfId="0" applyFont="1" applyBorder="1"/>
    <xf numFmtId="0" fontId="2" fillId="0" borderId="18" xfId="0" applyFont="1" applyBorder="1"/>
    <xf numFmtId="0" fontId="2" fillId="0" borderId="23" xfId="0" applyFont="1" applyBorder="1"/>
    <xf numFmtId="2" fontId="1" fillId="0" borderId="3" xfId="0" applyNumberFormat="1" applyFont="1" applyBorder="1" applyAlignment="1">
      <alignment horizontal="center"/>
    </xf>
    <xf numFmtId="0" fontId="1" fillId="0" borderId="15" xfId="0" applyFont="1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34" xfId="0" applyNumberFormat="1" applyFont="1" applyBorder="1" applyAlignment="1">
      <alignment horizontal="center"/>
    </xf>
    <xf numFmtId="2" fontId="1" fillId="0" borderId="35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2" fontId="1" fillId="0" borderId="36" xfId="0" applyNumberFormat="1" applyFont="1" applyBorder="1" applyAlignment="1">
      <alignment horizontal="center"/>
    </xf>
    <xf numFmtId="2" fontId="1" fillId="0" borderId="37" xfId="0" applyNumberFormat="1" applyFont="1" applyBorder="1" applyAlignment="1">
      <alignment horizontal="center"/>
    </xf>
    <xf numFmtId="2" fontId="1" fillId="0" borderId="38" xfId="0" applyNumberFormat="1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3" fillId="0" borderId="18" xfId="0" applyFont="1" applyBorder="1" applyAlignment="1">
      <alignment horizontal="center"/>
    </xf>
    <xf numFmtId="0" fontId="3" fillId="0" borderId="2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672E2-CF7D-4200-AB3E-E6E8B9198758}">
  <dimension ref="A1:N40"/>
  <sheetViews>
    <sheetView tabSelected="1" zoomScaleNormal="100" workbookViewId="0">
      <selection activeCell="N10" sqref="N10"/>
    </sheetView>
  </sheetViews>
  <sheetFormatPr defaultRowHeight="15.75" x14ac:dyDescent="0.25"/>
  <cols>
    <col min="1" max="1" width="17.85546875" style="1" bestFit="1" customWidth="1"/>
    <col min="2" max="2" width="21.140625" style="1" bestFit="1" customWidth="1"/>
    <col min="3" max="3" width="31" style="1" customWidth="1"/>
    <col min="4" max="4" width="19.140625" style="1" customWidth="1"/>
    <col min="5" max="5" width="18.28515625" style="1" customWidth="1"/>
    <col min="6" max="6" width="18.140625" style="1" customWidth="1"/>
    <col min="7" max="7" width="33.42578125" style="1" bestFit="1" customWidth="1"/>
    <col min="8" max="8" width="20.85546875" style="1" bestFit="1" customWidth="1"/>
    <col min="9" max="9" width="12.28515625" style="1" customWidth="1"/>
    <col min="10" max="10" width="14.42578125" style="1" customWidth="1"/>
    <col min="11" max="11" width="14.85546875" style="1" customWidth="1"/>
    <col min="12" max="16384" width="9.140625" style="1"/>
  </cols>
  <sheetData>
    <row r="1" spans="1:14" ht="17.25" customHeight="1" thickTop="1" thickBot="1" x14ac:dyDescent="0.3">
      <c r="A1" s="61" t="s">
        <v>44</v>
      </c>
      <c r="B1" s="62"/>
      <c r="C1" s="8" t="s">
        <v>0</v>
      </c>
      <c r="D1" s="8" t="s">
        <v>1</v>
      </c>
      <c r="E1" s="8" t="s">
        <v>2</v>
      </c>
      <c r="F1" s="47" t="s">
        <v>3</v>
      </c>
      <c r="G1" s="46" t="s">
        <v>4</v>
      </c>
      <c r="H1" s="48" t="s">
        <v>50</v>
      </c>
      <c r="I1" s="8" t="s">
        <v>43</v>
      </c>
      <c r="J1" s="8" t="s">
        <v>5</v>
      </c>
      <c r="K1" s="8" t="s">
        <v>6</v>
      </c>
    </row>
    <row r="2" spans="1:14" ht="17.25" customHeight="1" thickTop="1" x14ac:dyDescent="0.25">
      <c r="A2" s="9" t="s">
        <v>34</v>
      </c>
      <c r="B2" s="10"/>
      <c r="C2" s="5" t="s">
        <v>7</v>
      </c>
      <c r="D2" s="26">
        <v>2</v>
      </c>
      <c r="E2" s="26">
        <v>1</v>
      </c>
      <c r="F2" s="40">
        <v>0.5</v>
      </c>
      <c r="G2" s="27">
        <f>(F2+(4*E2)+D2)/6</f>
        <v>1.0833333333333333</v>
      </c>
      <c r="H2" s="36">
        <f>(D2-F2)/6</f>
        <v>0.25</v>
      </c>
      <c r="I2" s="57">
        <f>POWER(H2,2)</f>
        <v>6.25E-2</v>
      </c>
      <c r="J2" s="35">
        <f>G2-H2</f>
        <v>0.83333333333333326</v>
      </c>
      <c r="K2" s="27">
        <f>G2+H2</f>
        <v>1.3333333333333333</v>
      </c>
    </row>
    <row r="3" spans="1:14" ht="17.25" customHeight="1" x14ac:dyDescent="0.25">
      <c r="A3" s="11"/>
      <c r="B3" s="12"/>
      <c r="C3" s="6" t="s">
        <v>8</v>
      </c>
      <c r="D3" s="28">
        <v>4</v>
      </c>
      <c r="E3" s="28">
        <v>2</v>
      </c>
      <c r="F3" s="41">
        <v>1</v>
      </c>
      <c r="G3" s="29">
        <f t="shared" ref="G3:G34" si="0">(F3+(4*E3)+D3)/6</f>
        <v>2.1666666666666665</v>
      </c>
      <c r="H3" s="55">
        <f t="shared" ref="H3:H32" si="1">(D3-F3)/6</f>
        <v>0.5</v>
      </c>
      <c r="I3" s="58">
        <f t="shared" ref="I3:I34" si="2">POWER(H3,2)</f>
        <v>0.25</v>
      </c>
      <c r="J3" s="43">
        <f>G3-H3</f>
        <v>1.6666666666666665</v>
      </c>
      <c r="K3" s="29">
        <f>G3+H3</f>
        <v>2.6666666666666665</v>
      </c>
    </row>
    <row r="4" spans="1:14" ht="17.25" customHeight="1" thickBot="1" x14ac:dyDescent="0.3">
      <c r="A4" s="13"/>
      <c r="B4" s="14"/>
      <c r="C4" s="7" t="s">
        <v>9</v>
      </c>
      <c r="D4" s="30">
        <v>4</v>
      </c>
      <c r="E4" s="30">
        <v>2</v>
      </c>
      <c r="F4" s="42">
        <v>1</v>
      </c>
      <c r="G4" s="31">
        <f t="shared" si="0"/>
        <v>2.1666666666666665</v>
      </c>
      <c r="H4" s="44">
        <f t="shared" si="1"/>
        <v>0.5</v>
      </c>
      <c r="I4" s="59">
        <f t="shared" si="2"/>
        <v>0.25</v>
      </c>
      <c r="J4" s="33">
        <f>G4-H4</f>
        <v>1.6666666666666665</v>
      </c>
      <c r="K4" s="31">
        <f>G4+H4</f>
        <v>2.6666666666666665</v>
      </c>
    </row>
    <row r="5" spans="1:14" ht="17.25" customHeight="1" thickTop="1" x14ac:dyDescent="0.25">
      <c r="A5" s="15" t="s">
        <v>35</v>
      </c>
      <c r="B5" s="16"/>
      <c r="C5" s="5" t="s">
        <v>10</v>
      </c>
      <c r="D5" s="26">
        <v>18</v>
      </c>
      <c r="E5" s="26">
        <v>10</v>
      </c>
      <c r="F5" s="40">
        <v>5</v>
      </c>
      <c r="G5" s="27">
        <f t="shared" si="0"/>
        <v>10.5</v>
      </c>
      <c r="H5" s="36">
        <f t="shared" si="1"/>
        <v>2.1666666666666665</v>
      </c>
      <c r="I5" s="57">
        <f t="shared" si="2"/>
        <v>4.6944444444444438</v>
      </c>
      <c r="J5" s="35">
        <f>G5-H5</f>
        <v>8.3333333333333339</v>
      </c>
      <c r="K5" s="27">
        <f>G5+H5</f>
        <v>12.666666666666666</v>
      </c>
    </row>
    <row r="6" spans="1:14" ht="17.25" customHeight="1" x14ac:dyDescent="0.25">
      <c r="A6" s="17"/>
      <c r="B6" s="18"/>
      <c r="C6" s="6" t="s">
        <v>11</v>
      </c>
      <c r="D6" s="28">
        <v>18</v>
      </c>
      <c r="E6" s="28">
        <v>10</v>
      </c>
      <c r="F6" s="41">
        <v>5</v>
      </c>
      <c r="G6" s="29">
        <f t="shared" si="0"/>
        <v>10.5</v>
      </c>
      <c r="H6" s="55">
        <f t="shared" si="1"/>
        <v>2.1666666666666665</v>
      </c>
      <c r="I6" s="58">
        <f t="shared" si="2"/>
        <v>4.6944444444444438</v>
      </c>
      <c r="J6" s="43">
        <f>G6-H6</f>
        <v>8.3333333333333339</v>
      </c>
      <c r="K6" s="29">
        <f>G6+H6</f>
        <v>12.666666666666666</v>
      </c>
    </row>
    <row r="7" spans="1:14" ht="17.25" customHeight="1" x14ac:dyDescent="0.25">
      <c r="A7" s="17"/>
      <c r="B7" s="18"/>
      <c r="C7" s="6" t="s">
        <v>12</v>
      </c>
      <c r="D7" s="28">
        <v>3</v>
      </c>
      <c r="E7" s="28">
        <v>1</v>
      </c>
      <c r="F7" s="41">
        <v>0.5</v>
      </c>
      <c r="G7" s="29">
        <f t="shared" si="0"/>
        <v>1.25</v>
      </c>
      <c r="H7" s="55">
        <f t="shared" si="1"/>
        <v>0.41666666666666669</v>
      </c>
      <c r="I7" s="58">
        <f t="shared" si="2"/>
        <v>0.17361111111111113</v>
      </c>
      <c r="J7" s="43">
        <f>G7-H7</f>
        <v>0.83333333333333326</v>
      </c>
      <c r="K7" s="29">
        <f>G7+H7</f>
        <v>1.6666666666666667</v>
      </c>
    </row>
    <row r="8" spans="1:14" ht="17.25" customHeight="1" x14ac:dyDescent="0.25">
      <c r="A8" s="17"/>
      <c r="B8" s="18"/>
      <c r="C8" s="6" t="s">
        <v>13</v>
      </c>
      <c r="D8" s="28">
        <v>3</v>
      </c>
      <c r="E8" s="28">
        <v>1</v>
      </c>
      <c r="F8" s="41">
        <v>0.5</v>
      </c>
      <c r="G8" s="29">
        <f t="shared" si="0"/>
        <v>1.25</v>
      </c>
      <c r="H8" s="55">
        <f t="shared" si="1"/>
        <v>0.41666666666666669</v>
      </c>
      <c r="I8" s="58">
        <f t="shared" si="2"/>
        <v>0.17361111111111113</v>
      </c>
      <c r="J8" s="43">
        <f>G8-H8</f>
        <v>0.83333333333333326</v>
      </c>
      <c r="K8" s="29">
        <f>G8+H8</f>
        <v>1.6666666666666667</v>
      </c>
    </row>
    <row r="9" spans="1:14" ht="17.25" customHeight="1" thickBot="1" x14ac:dyDescent="0.3">
      <c r="A9" s="19"/>
      <c r="B9" s="20"/>
      <c r="C9" s="7" t="s">
        <v>14</v>
      </c>
      <c r="D9" s="30">
        <v>6</v>
      </c>
      <c r="E9" s="30">
        <v>3</v>
      </c>
      <c r="F9" s="42">
        <v>1</v>
      </c>
      <c r="G9" s="31">
        <f t="shared" si="0"/>
        <v>3.1666666666666665</v>
      </c>
      <c r="H9" s="44">
        <f t="shared" si="1"/>
        <v>0.83333333333333337</v>
      </c>
      <c r="I9" s="59">
        <f t="shared" si="2"/>
        <v>0.69444444444444453</v>
      </c>
      <c r="J9" s="33">
        <f>G9-H9</f>
        <v>2.333333333333333</v>
      </c>
      <c r="K9" s="31">
        <f>G9+H9</f>
        <v>4</v>
      </c>
    </row>
    <row r="10" spans="1:14" ht="17.25" customHeight="1" thickTop="1" x14ac:dyDescent="0.25">
      <c r="A10" s="21" t="s">
        <v>36</v>
      </c>
      <c r="B10" s="21" t="s">
        <v>39</v>
      </c>
      <c r="C10" s="5" t="s">
        <v>15</v>
      </c>
      <c r="D10" s="26">
        <v>4</v>
      </c>
      <c r="E10" s="26">
        <v>2</v>
      </c>
      <c r="F10" s="40">
        <v>1</v>
      </c>
      <c r="G10" s="27">
        <f t="shared" si="0"/>
        <v>2.1666666666666665</v>
      </c>
      <c r="H10" s="36">
        <f t="shared" si="1"/>
        <v>0.5</v>
      </c>
      <c r="I10" s="57">
        <f t="shared" si="2"/>
        <v>0.25</v>
      </c>
      <c r="J10" s="35">
        <f>G10-H10</f>
        <v>1.6666666666666665</v>
      </c>
      <c r="K10" s="27">
        <f>G10+H10</f>
        <v>2.6666666666666665</v>
      </c>
    </row>
    <row r="11" spans="1:14" ht="17.25" customHeight="1" x14ac:dyDescent="0.25">
      <c r="A11" s="22"/>
      <c r="B11" s="22"/>
      <c r="C11" s="6" t="s">
        <v>16</v>
      </c>
      <c r="D11" s="28">
        <v>4</v>
      </c>
      <c r="E11" s="28">
        <v>2</v>
      </c>
      <c r="F11" s="41">
        <v>1</v>
      </c>
      <c r="G11" s="29">
        <f t="shared" si="0"/>
        <v>2.1666666666666665</v>
      </c>
      <c r="H11" s="55">
        <f t="shared" si="1"/>
        <v>0.5</v>
      </c>
      <c r="I11" s="58">
        <f t="shared" si="2"/>
        <v>0.25</v>
      </c>
      <c r="J11" s="43">
        <f>G11-H11</f>
        <v>1.6666666666666665</v>
      </c>
      <c r="K11" s="29">
        <f>G11+H11</f>
        <v>2.6666666666666665</v>
      </c>
    </row>
    <row r="12" spans="1:14" ht="17.25" customHeight="1" x14ac:dyDescent="0.25">
      <c r="A12" s="22"/>
      <c r="B12" s="22"/>
      <c r="C12" s="6" t="s">
        <v>17</v>
      </c>
      <c r="D12" s="28">
        <v>66</v>
      </c>
      <c r="E12" s="28">
        <v>50</v>
      </c>
      <c r="F12" s="41">
        <v>42</v>
      </c>
      <c r="G12" s="29">
        <f t="shared" si="0"/>
        <v>51.333333333333336</v>
      </c>
      <c r="H12" s="55">
        <f t="shared" si="1"/>
        <v>4</v>
      </c>
      <c r="I12" s="58">
        <f t="shared" si="2"/>
        <v>16</v>
      </c>
      <c r="J12" s="43">
        <f>G12-H12</f>
        <v>47.333333333333336</v>
      </c>
      <c r="K12" s="29">
        <f>G12+H12</f>
        <v>55.333333333333336</v>
      </c>
      <c r="N12" s="3"/>
    </row>
    <row r="13" spans="1:14" ht="17.25" customHeight="1" x14ac:dyDescent="0.25">
      <c r="A13" s="22"/>
      <c r="B13" s="22"/>
      <c r="C13" s="6" t="s">
        <v>18</v>
      </c>
      <c r="D13" s="28">
        <v>66</v>
      </c>
      <c r="E13" s="28">
        <v>50</v>
      </c>
      <c r="F13" s="41">
        <v>42</v>
      </c>
      <c r="G13" s="29">
        <f t="shared" si="0"/>
        <v>51.333333333333336</v>
      </c>
      <c r="H13" s="55">
        <f t="shared" si="1"/>
        <v>4</v>
      </c>
      <c r="I13" s="58">
        <f t="shared" si="2"/>
        <v>16</v>
      </c>
      <c r="J13" s="43">
        <f>G13-H13</f>
        <v>47.333333333333336</v>
      </c>
      <c r="K13" s="29">
        <f>G13+H13</f>
        <v>55.333333333333336</v>
      </c>
    </row>
    <row r="14" spans="1:14" ht="17.25" customHeight="1" thickBot="1" x14ac:dyDescent="0.3">
      <c r="A14" s="22"/>
      <c r="B14" s="23"/>
      <c r="C14" s="7" t="s">
        <v>19</v>
      </c>
      <c r="D14" s="30">
        <v>8</v>
      </c>
      <c r="E14" s="30">
        <v>4</v>
      </c>
      <c r="F14" s="42">
        <v>2</v>
      </c>
      <c r="G14" s="31">
        <f t="shared" si="0"/>
        <v>4.333333333333333</v>
      </c>
      <c r="H14" s="44">
        <f t="shared" si="1"/>
        <v>1</v>
      </c>
      <c r="I14" s="59">
        <f t="shared" si="2"/>
        <v>1</v>
      </c>
      <c r="J14" s="33">
        <f>G14-H14</f>
        <v>3.333333333333333</v>
      </c>
      <c r="K14" s="31">
        <f>G14+H14</f>
        <v>5.333333333333333</v>
      </c>
    </row>
    <row r="15" spans="1:14" ht="17.25" customHeight="1" thickTop="1" x14ac:dyDescent="0.25">
      <c r="A15" s="22"/>
      <c r="B15" s="21" t="s">
        <v>40</v>
      </c>
      <c r="C15" s="5" t="s">
        <v>15</v>
      </c>
      <c r="D15" s="26">
        <v>4</v>
      </c>
      <c r="E15" s="26">
        <v>2</v>
      </c>
      <c r="F15" s="40">
        <v>1</v>
      </c>
      <c r="G15" s="27">
        <f t="shared" si="0"/>
        <v>2.1666666666666665</v>
      </c>
      <c r="H15" s="36">
        <f t="shared" si="1"/>
        <v>0.5</v>
      </c>
      <c r="I15" s="57">
        <f t="shared" si="2"/>
        <v>0.25</v>
      </c>
      <c r="J15" s="35">
        <f>G15-H15</f>
        <v>1.6666666666666665</v>
      </c>
      <c r="K15" s="27">
        <f>G15+H15</f>
        <v>2.6666666666666665</v>
      </c>
    </row>
    <row r="16" spans="1:14" ht="17.25" customHeight="1" x14ac:dyDescent="0.25">
      <c r="A16" s="22"/>
      <c r="B16" s="22"/>
      <c r="C16" s="6" t="s">
        <v>20</v>
      </c>
      <c r="D16" s="28">
        <v>4</v>
      </c>
      <c r="E16" s="28">
        <v>2</v>
      </c>
      <c r="F16" s="41">
        <v>1</v>
      </c>
      <c r="G16" s="29">
        <f t="shared" si="0"/>
        <v>2.1666666666666665</v>
      </c>
      <c r="H16" s="55">
        <f t="shared" si="1"/>
        <v>0.5</v>
      </c>
      <c r="I16" s="58">
        <f t="shared" si="2"/>
        <v>0.25</v>
      </c>
      <c r="J16" s="43">
        <f>G16-H16</f>
        <v>1.6666666666666665</v>
      </c>
      <c r="K16" s="29">
        <f>G16+H16</f>
        <v>2.6666666666666665</v>
      </c>
    </row>
    <row r="17" spans="1:11" ht="17.25" customHeight="1" x14ac:dyDescent="0.25">
      <c r="A17" s="22"/>
      <c r="B17" s="22"/>
      <c r="C17" s="6" t="s">
        <v>21</v>
      </c>
      <c r="D17" s="28">
        <v>4</v>
      </c>
      <c r="E17" s="28">
        <v>2</v>
      </c>
      <c r="F17" s="41">
        <v>1</v>
      </c>
      <c r="G17" s="29">
        <f t="shared" si="0"/>
        <v>2.1666666666666665</v>
      </c>
      <c r="H17" s="55">
        <f t="shared" si="1"/>
        <v>0.5</v>
      </c>
      <c r="I17" s="58">
        <f t="shared" si="2"/>
        <v>0.25</v>
      </c>
      <c r="J17" s="43">
        <f>G17-H17</f>
        <v>1.6666666666666665</v>
      </c>
      <c r="K17" s="29">
        <f>G17+H17</f>
        <v>2.6666666666666665</v>
      </c>
    </row>
    <row r="18" spans="1:11" ht="17.25" customHeight="1" x14ac:dyDescent="0.25">
      <c r="A18" s="22"/>
      <c r="B18" s="22"/>
      <c r="C18" s="6" t="s">
        <v>22</v>
      </c>
      <c r="D18" s="28">
        <v>8</v>
      </c>
      <c r="E18" s="28">
        <v>4</v>
      </c>
      <c r="F18" s="41">
        <v>2</v>
      </c>
      <c r="G18" s="29">
        <f t="shared" si="0"/>
        <v>4.333333333333333</v>
      </c>
      <c r="H18" s="55">
        <f t="shared" si="1"/>
        <v>1</v>
      </c>
      <c r="I18" s="58">
        <f t="shared" si="2"/>
        <v>1</v>
      </c>
      <c r="J18" s="43">
        <f>G18-H18</f>
        <v>3.333333333333333</v>
      </c>
      <c r="K18" s="29">
        <f>G18+H18</f>
        <v>5.333333333333333</v>
      </c>
    </row>
    <row r="19" spans="1:11" ht="17.25" customHeight="1" thickBot="1" x14ac:dyDescent="0.3">
      <c r="A19" s="22"/>
      <c r="B19" s="22"/>
      <c r="C19" s="50" t="s">
        <v>23</v>
      </c>
      <c r="D19" s="51">
        <v>70</v>
      </c>
      <c r="E19" s="51">
        <v>55</v>
      </c>
      <c r="F19" s="52">
        <v>40</v>
      </c>
      <c r="G19" s="31">
        <f t="shared" si="0"/>
        <v>55</v>
      </c>
      <c r="H19" s="56">
        <f t="shared" si="1"/>
        <v>5</v>
      </c>
      <c r="I19" s="59">
        <f t="shared" si="2"/>
        <v>25</v>
      </c>
      <c r="J19" s="54">
        <f>G19-H19</f>
        <v>50</v>
      </c>
      <c r="K19" s="53">
        <f>G19+H19</f>
        <v>60</v>
      </c>
    </row>
    <row r="20" spans="1:11" ht="17.25" customHeight="1" thickTop="1" x14ac:dyDescent="0.25">
      <c r="A20" s="22"/>
      <c r="B20" s="24" t="s">
        <v>41</v>
      </c>
      <c r="C20" s="5" t="s">
        <v>24</v>
      </c>
      <c r="D20" s="26">
        <v>9</v>
      </c>
      <c r="E20" s="26">
        <v>5</v>
      </c>
      <c r="F20" s="40">
        <v>2.5</v>
      </c>
      <c r="G20" s="27">
        <f t="shared" si="0"/>
        <v>5.25</v>
      </c>
      <c r="H20" s="36">
        <f t="shared" si="1"/>
        <v>1.0833333333333333</v>
      </c>
      <c r="I20" s="57">
        <f t="shared" si="2"/>
        <v>1.1736111111111109</v>
      </c>
      <c r="J20" s="35">
        <f>G20-H20</f>
        <v>4.166666666666667</v>
      </c>
      <c r="K20" s="27">
        <f>G20+H20</f>
        <v>6.333333333333333</v>
      </c>
    </row>
    <row r="21" spans="1:11" ht="17.25" customHeight="1" thickBot="1" x14ac:dyDescent="0.3">
      <c r="A21" s="22"/>
      <c r="B21" s="25"/>
      <c r="C21" s="7" t="s">
        <v>25</v>
      </c>
      <c r="D21" s="30">
        <v>8</v>
      </c>
      <c r="E21" s="30">
        <v>4</v>
      </c>
      <c r="F21" s="42">
        <v>2</v>
      </c>
      <c r="G21" s="31">
        <f t="shared" si="0"/>
        <v>4.333333333333333</v>
      </c>
      <c r="H21" s="44">
        <f t="shared" si="1"/>
        <v>1</v>
      </c>
      <c r="I21" s="59">
        <f t="shared" si="2"/>
        <v>1</v>
      </c>
      <c r="J21" s="33">
        <f>G21-H21</f>
        <v>3.333333333333333</v>
      </c>
      <c r="K21" s="31">
        <f>G21+H21</f>
        <v>5.333333333333333</v>
      </c>
    </row>
    <row r="22" spans="1:11" ht="17.25" customHeight="1" thickTop="1" x14ac:dyDescent="0.25">
      <c r="A22" s="22"/>
      <c r="B22" s="21" t="s">
        <v>42</v>
      </c>
      <c r="C22" s="5" t="s">
        <v>26</v>
      </c>
      <c r="D22" s="26">
        <v>40</v>
      </c>
      <c r="E22" s="26">
        <v>26</v>
      </c>
      <c r="F22" s="40">
        <v>19</v>
      </c>
      <c r="G22" s="27">
        <f t="shared" si="0"/>
        <v>27.166666666666668</v>
      </c>
      <c r="H22" s="36">
        <f t="shared" si="1"/>
        <v>3.5</v>
      </c>
      <c r="I22" s="57">
        <f t="shared" si="2"/>
        <v>12.25</v>
      </c>
      <c r="J22" s="35">
        <f>G22-H22</f>
        <v>23.666666666666668</v>
      </c>
      <c r="K22" s="27">
        <f>G22+H22</f>
        <v>30.666666666666668</v>
      </c>
    </row>
    <row r="23" spans="1:11" ht="17.25" customHeight="1" x14ac:dyDescent="0.25">
      <c r="A23" s="22"/>
      <c r="B23" s="22"/>
      <c r="C23" s="6" t="s">
        <v>27</v>
      </c>
      <c r="D23" s="28">
        <v>25</v>
      </c>
      <c r="E23" s="28">
        <v>16</v>
      </c>
      <c r="F23" s="41">
        <v>10</v>
      </c>
      <c r="G23" s="29">
        <f t="shared" si="0"/>
        <v>16.5</v>
      </c>
      <c r="H23" s="55">
        <f t="shared" si="1"/>
        <v>2.5</v>
      </c>
      <c r="I23" s="58">
        <f t="shared" si="2"/>
        <v>6.25</v>
      </c>
      <c r="J23" s="43">
        <f>G23-H23</f>
        <v>14</v>
      </c>
      <c r="K23" s="29">
        <f>G23+H23</f>
        <v>19</v>
      </c>
    </row>
    <row r="24" spans="1:11" ht="17.25" customHeight="1" x14ac:dyDescent="0.25">
      <c r="A24" s="22"/>
      <c r="B24" s="22"/>
      <c r="C24" s="6" t="s">
        <v>28</v>
      </c>
      <c r="D24" s="28">
        <v>5</v>
      </c>
      <c r="E24" s="28">
        <v>2</v>
      </c>
      <c r="F24" s="41">
        <v>1</v>
      </c>
      <c r="G24" s="29">
        <f t="shared" si="0"/>
        <v>2.3333333333333335</v>
      </c>
      <c r="H24" s="55">
        <f t="shared" si="1"/>
        <v>0.66666666666666663</v>
      </c>
      <c r="I24" s="58">
        <f t="shared" si="2"/>
        <v>0.44444444444444442</v>
      </c>
      <c r="J24" s="43">
        <f>G24-H24</f>
        <v>1.666666666666667</v>
      </c>
      <c r="K24" s="29">
        <f>G24+H24</f>
        <v>3</v>
      </c>
    </row>
    <row r="25" spans="1:11" ht="17.25" customHeight="1" x14ac:dyDescent="0.25">
      <c r="A25" s="22"/>
      <c r="B25" s="22"/>
      <c r="C25" s="6" t="s">
        <v>29</v>
      </c>
      <c r="D25" s="28">
        <v>25</v>
      </c>
      <c r="E25" s="28">
        <v>17</v>
      </c>
      <c r="F25" s="41">
        <v>10</v>
      </c>
      <c r="G25" s="29">
        <f t="shared" si="0"/>
        <v>17.166666666666668</v>
      </c>
      <c r="H25" s="55">
        <f t="shared" si="1"/>
        <v>2.5</v>
      </c>
      <c r="I25" s="58">
        <f t="shared" si="2"/>
        <v>6.25</v>
      </c>
      <c r="J25" s="43">
        <f>G25-H25</f>
        <v>14.666666666666668</v>
      </c>
      <c r="K25" s="29">
        <f>G25+H25</f>
        <v>19.666666666666668</v>
      </c>
    </row>
    <row r="26" spans="1:11" ht="17.25" customHeight="1" thickBot="1" x14ac:dyDescent="0.3">
      <c r="A26" s="22"/>
      <c r="B26" s="23"/>
      <c r="C26" s="7" t="s">
        <v>30</v>
      </c>
      <c r="D26" s="30">
        <v>4</v>
      </c>
      <c r="E26" s="30">
        <v>2</v>
      </c>
      <c r="F26" s="42">
        <v>1</v>
      </c>
      <c r="G26" s="31">
        <f t="shared" si="0"/>
        <v>2.1666666666666665</v>
      </c>
      <c r="H26" s="44">
        <f t="shared" si="1"/>
        <v>0.5</v>
      </c>
      <c r="I26" s="59">
        <f t="shared" si="2"/>
        <v>0.25</v>
      </c>
      <c r="J26" s="33">
        <f>G26-H26</f>
        <v>1.6666666666666665</v>
      </c>
      <c r="K26" s="31">
        <f>G26+H26</f>
        <v>2.6666666666666665</v>
      </c>
    </row>
    <row r="27" spans="1:11" ht="17.25" customHeight="1" thickTop="1" x14ac:dyDescent="0.25">
      <c r="A27" s="9" t="s">
        <v>37</v>
      </c>
      <c r="B27" s="10"/>
      <c r="C27" s="5" t="s">
        <v>12</v>
      </c>
      <c r="D27" s="28">
        <v>3</v>
      </c>
      <c r="E27" s="28">
        <v>1</v>
      </c>
      <c r="F27" s="41">
        <v>0.5</v>
      </c>
      <c r="G27" s="27">
        <f t="shared" si="0"/>
        <v>1.25</v>
      </c>
      <c r="H27" s="36">
        <f t="shared" si="1"/>
        <v>0.41666666666666669</v>
      </c>
      <c r="I27" s="57">
        <f t="shared" si="2"/>
        <v>0.17361111111111113</v>
      </c>
      <c r="J27" s="35">
        <f>G27-H27</f>
        <v>0.83333333333333326</v>
      </c>
      <c r="K27" s="27">
        <f>G27+H27</f>
        <v>1.6666666666666667</v>
      </c>
    </row>
    <row r="28" spans="1:11" ht="17.25" customHeight="1" x14ac:dyDescent="0.25">
      <c r="A28" s="11"/>
      <c r="B28" s="12"/>
      <c r="C28" s="6" t="s">
        <v>13</v>
      </c>
      <c r="D28" s="28">
        <v>3</v>
      </c>
      <c r="E28" s="28">
        <v>1</v>
      </c>
      <c r="F28" s="41">
        <v>0.5</v>
      </c>
      <c r="G28" s="29">
        <f t="shared" si="0"/>
        <v>1.25</v>
      </c>
      <c r="H28" s="55">
        <f t="shared" si="1"/>
        <v>0.41666666666666669</v>
      </c>
      <c r="I28" s="58">
        <f t="shared" si="2"/>
        <v>0.17361111111111113</v>
      </c>
      <c r="J28" s="43">
        <f>G28-H28</f>
        <v>0.83333333333333326</v>
      </c>
      <c r="K28" s="29">
        <f>G28+H28</f>
        <v>1.6666666666666667</v>
      </c>
    </row>
    <row r="29" spans="1:11" ht="17.25" customHeight="1" x14ac:dyDescent="0.25">
      <c r="A29" s="11"/>
      <c r="B29" s="12"/>
      <c r="C29" s="6" t="s">
        <v>10</v>
      </c>
      <c r="D29" s="28">
        <v>6</v>
      </c>
      <c r="E29" s="28">
        <v>3</v>
      </c>
      <c r="F29" s="41">
        <v>1.5</v>
      </c>
      <c r="G29" s="29">
        <f t="shared" si="0"/>
        <v>3.25</v>
      </c>
      <c r="H29" s="55">
        <f t="shared" si="1"/>
        <v>0.75</v>
      </c>
      <c r="I29" s="58">
        <f t="shared" si="2"/>
        <v>0.5625</v>
      </c>
      <c r="J29" s="43">
        <f>G29-H29</f>
        <v>2.5</v>
      </c>
      <c r="K29" s="29">
        <f>G29+H29</f>
        <v>4</v>
      </c>
    </row>
    <row r="30" spans="1:11" ht="17.25" customHeight="1" thickBot="1" x14ac:dyDescent="0.3">
      <c r="A30" s="13"/>
      <c r="B30" s="14"/>
      <c r="C30" s="7" t="s">
        <v>31</v>
      </c>
      <c r="D30" s="30">
        <v>16</v>
      </c>
      <c r="E30" s="30">
        <v>8</v>
      </c>
      <c r="F30" s="42">
        <v>4</v>
      </c>
      <c r="G30" s="31">
        <f t="shared" si="0"/>
        <v>8.6666666666666661</v>
      </c>
      <c r="H30" s="44">
        <f t="shared" si="1"/>
        <v>2</v>
      </c>
      <c r="I30" s="59">
        <f t="shared" si="2"/>
        <v>4</v>
      </c>
      <c r="J30" s="33">
        <f>G30-H30</f>
        <v>6.6666666666666661</v>
      </c>
      <c r="K30" s="31">
        <f>G30+H30</f>
        <v>10.666666666666666</v>
      </c>
    </row>
    <row r="31" spans="1:11" ht="17.25" customHeight="1" thickTop="1" x14ac:dyDescent="0.25">
      <c r="A31" s="9" t="s">
        <v>38</v>
      </c>
      <c r="B31" s="10"/>
      <c r="C31" s="5" t="s">
        <v>32</v>
      </c>
      <c r="D31" s="26">
        <v>8</v>
      </c>
      <c r="E31" s="26">
        <v>4</v>
      </c>
      <c r="F31" s="40">
        <v>2</v>
      </c>
      <c r="G31" s="27">
        <f t="shared" si="0"/>
        <v>4.333333333333333</v>
      </c>
      <c r="H31" s="36">
        <f t="shared" si="1"/>
        <v>1</v>
      </c>
      <c r="I31" s="57">
        <f t="shared" si="2"/>
        <v>1</v>
      </c>
      <c r="J31" s="35">
        <f>G31-H31</f>
        <v>3.333333333333333</v>
      </c>
      <c r="K31" s="27">
        <f>G31+H31</f>
        <v>5.333333333333333</v>
      </c>
    </row>
    <row r="32" spans="1:11" ht="17.25" customHeight="1" thickBot="1" x14ac:dyDescent="0.3">
      <c r="A32" s="13"/>
      <c r="B32" s="14"/>
      <c r="C32" s="7" t="s">
        <v>33</v>
      </c>
      <c r="D32" s="30">
        <v>4</v>
      </c>
      <c r="E32" s="30">
        <v>2</v>
      </c>
      <c r="F32" s="42">
        <v>1</v>
      </c>
      <c r="G32" s="31">
        <f t="shared" si="0"/>
        <v>2.1666666666666665</v>
      </c>
      <c r="H32" s="44">
        <f t="shared" si="1"/>
        <v>0.5</v>
      </c>
      <c r="I32" s="59">
        <f t="shared" si="2"/>
        <v>0.25</v>
      </c>
      <c r="J32" s="33">
        <f>G32-H32</f>
        <v>1.6666666666666665</v>
      </c>
      <c r="K32" s="31">
        <f>G32+H32</f>
        <v>2.6666666666666665</v>
      </c>
    </row>
    <row r="33" spans="1:11" ht="20.25" customHeight="1" thickTop="1" x14ac:dyDescent="0.25">
      <c r="F33" s="4" t="s">
        <v>51</v>
      </c>
      <c r="G33" s="49">
        <f>SUM(G2:G32)</f>
        <v>305.08333333333337</v>
      </c>
      <c r="H33" s="38">
        <f>SQRT(I33)</f>
        <v>10.247967278115858</v>
      </c>
      <c r="I33" s="49">
        <f>SUM(I2:I32)</f>
        <v>105.02083333333334</v>
      </c>
      <c r="J33" s="37">
        <f>G33-(2*H33)</f>
        <v>284.58739877710167</v>
      </c>
      <c r="K33" s="38">
        <f>G33+(2*H33)</f>
        <v>325.57926788956507</v>
      </c>
    </row>
    <row r="34" spans="1:11" x14ac:dyDescent="0.25">
      <c r="F34" s="60" t="s">
        <v>52</v>
      </c>
      <c r="G34" s="34">
        <f>G33/8</f>
        <v>38.135416666666671</v>
      </c>
      <c r="H34" s="45"/>
      <c r="I34" s="34"/>
      <c r="J34" s="34">
        <f>J33/8</f>
        <v>35.573424847137709</v>
      </c>
      <c r="K34" s="34">
        <f>K33/8</f>
        <v>40.697408486195634</v>
      </c>
    </row>
    <row r="35" spans="1:11" x14ac:dyDescent="0.25">
      <c r="F35" s="2" t="s">
        <v>63</v>
      </c>
      <c r="G35" s="34">
        <f>G34/3</f>
        <v>12.711805555555557</v>
      </c>
      <c r="H35" s="34"/>
      <c r="I35" s="34"/>
      <c r="J35" s="34">
        <f t="shared" ref="J35" si="3">J34/3</f>
        <v>11.857808282379237</v>
      </c>
      <c r="K35" s="34">
        <f>K34/3</f>
        <v>13.565802828731877</v>
      </c>
    </row>
    <row r="36" spans="1:11" x14ac:dyDescent="0.25">
      <c r="A36" s="2" t="s">
        <v>45</v>
      </c>
      <c r="B36" s="2" t="s">
        <v>57</v>
      </c>
      <c r="C36" s="2" t="s">
        <v>58</v>
      </c>
    </row>
    <row r="37" spans="1:11" x14ac:dyDescent="0.25">
      <c r="A37" s="2" t="s">
        <v>46</v>
      </c>
      <c r="B37" s="2" t="s">
        <v>53</v>
      </c>
      <c r="C37" s="2" t="s">
        <v>59</v>
      </c>
    </row>
    <row r="38" spans="1:11" x14ac:dyDescent="0.25">
      <c r="A38" s="39" t="s">
        <v>47</v>
      </c>
      <c r="B38" s="2" t="s">
        <v>55</v>
      </c>
      <c r="C38" s="32" t="s">
        <v>60</v>
      </c>
    </row>
    <row r="39" spans="1:11" x14ac:dyDescent="0.25">
      <c r="A39" s="2" t="s">
        <v>49</v>
      </c>
      <c r="B39" s="2" t="s">
        <v>54</v>
      </c>
      <c r="C39" s="2" t="s">
        <v>61</v>
      </c>
    </row>
    <row r="40" spans="1:11" x14ac:dyDescent="0.25">
      <c r="A40" s="2" t="s">
        <v>48</v>
      </c>
      <c r="B40" s="2" t="s">
        <v>56</v>
      </c>
      <c r="C40" s="2" t="s">
        <v>62</v>
      </c>
    </row>
  </sheetData>
  <mergeCells count="10">
    <mergeCell ref="B22:B26"/>
    <mergeCell ref="A27:B30"/>
    <mergeCell ref="A31:B32"/>
    <mergeCell ref="A1:B1"/>
    <mergeCell ref="A2:B4"/>
    <mergeCell ref="A5:B9"/>
    <mergeCell ref="A10:A26"/>
    <mergeCell ref="B10:B14"/>
    <mergeCell ref="B15:B19"/>
    <mergeCell ref="B20:B21"/>
  </mergeCells>
  <pageMargins left="0.7" right="0.7" top="0.75" bottom="0.75" header="0.3" footer="0.3"/>
  <ignoredErrors>
    <ignoredError sqref="H33:I3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Ciccone</dc:creator>
  <cp:lastModifiedBy>Ignacio Ciccone</cp:lastModifiedBy>
  <dcterms:created xsi:type="dcterms:W3CDTF">2026-04-18T13:25:14Z</dcterms:created>
  <dcterms:modified xsi:type="dcterms:W3CDTF">2026-04-20T03:13:17Z</dcterms:modified>
</cp:coreProperties>
</file>